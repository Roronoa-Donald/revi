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EXO STAT DESCRIPTIVE\"/>
    </mc:Choice>
  </mc:AlternateContent>
  <bookViews>
    <workbookView xWindow="0" yWindow="0" windowWidth="23040" windowHeight="9972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5" i="1" l="1"/>
  <c r="T5" i="1"/>
  <c r="V5" i="1"/>
  <c r="X5" i="1"/>
  <c r="Z5" i="1"/>
  <c r="T4" i="1"/>
  <c r="V4" i="1"/>
  <c r="X4" i="1"/>
  <c r="Z4" i="1"/>
  <c r="R4" i="1"/>
  <c r="T3" i="1"/>
  <c r="V3" i="1"/>
  <c r="X3" i="1"/>
  <c r="Z3" i="1"/>
  <c r="R3" i="1"/>
  <c r="T2" i="1"/>
  <c r="V2" i="1"/>
  <c r="X2" i="1"/>
  <c r="Z2" i="1"/>
  <c r="R2" i="1"/>
  <c r="T1" i="1" l="1"/>
  <c r="V1" i="1"/>
  <c r="X1" i="1"/>
  <c r="Z1" i="1"/>
  <c r="R1" i="1"/>
</calcChain>
</file>

<file path=xl/sharedStrings.xml><?xml version="1.0" encoding="utf-8"?>
<sst xmlns="http://schemas.openxmlformats.org/spreadsheetml/2006/main" count="12" uniqueCount="12">
  <si>
    <t>Jours</t>
  </si>
  <si>
    <t>Argent de poche</t>
  </si>
  <si>
    <t>Dépense pour transport</t>
  </si>
  <si>
    <t>Dépense de déjeuner</t>
  </si>
  <si>
    <t>Dépense liée à l'école</t>
  </si>
  <si>
    <t>Autres dépenses</t>
  </si>
  <si>
    <t>60O</t>
  </si>
  <si>
    <t>TOTAL</t>
  </si>
  <si>
    <t>MOYENNE</t>
  </si>
  <si>
    <t>MEDIANE</t>
  </si>
  <si>
    <t>VARIANCE</t>
  </si>
  <si>
    <t>ECART-TYPE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</si>
</sst>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1" xfId="0" applyFont="1" applyFill="1" applyBorder="1"/>
    <xf numFmtId="14" fontId="1" fillId="8" borderId="1" xfId="0" applyNumberFormat="1" applyFont="1" applyFill="1" applyBorder="1"/>
    <xf numFmtId="0" fontId="1" fillId="4" borderId="1" xfId="0" applyFont="1" applyFill="1" applyBorder="1"/>
    <xf numFmtId="0" fontId="0" fillId="6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5"/>
  <sheetViews>
    <sheetView tabSelected="1" zoomScale="79" zoomScaleNormal="85" workbookViewId="0">
      <selection activeCell="M1" sqref="M1"/>
    </sheetView>
  </sheetViews>
  <sheetFormatPr baseColWidth="10" defaultRowHeight="14.4" x14ac:dyDescent="0.3"/>
  <cols>
    <col min="10" max="10" width="11.5546875" customWidth="1"/>
    <col min="13" max="13" width="11.5546875" customWidth="1"/>
    <col min="16" max="16" width="11.5546875" customWidth="1"/>
  </cols>
  <sheetData>
    <row r="1" spans="1:27" x14ac:dyDescent="0.3">
      <c r="A1" s="1" t="s">
        <v>0</v>
      </c>
      <c r="B1" s="9" t="s">
        <v>1</v>
      </c>
      <c r="C1" s="9"/>
      <c r="D1" s="9" t="s">
        <v>2</v>
      </c>
      <c r="E1" s="9"/>
      <c r="F1" s="9" t="s">
        <v>3</v>
      </c>
      <c r="G1" s="9"/>
      <c r="H1" s="9" t="s">
        <v>4</v>
      </c>
      <c r="I1" s="9"/>
      <c r="J1" s="9" t="s">
        <v>5</v>
      </c>
      <c r="K1" s="9"/>
      <c r="Q1" s="3" t="s">
        <v>7</v>
      </c>
      <c r="R1" s="10">
        <f>SUM(B2:C15)</f>
        <v>36950</v>
      </c>
      <c r="S1" s="10"/>
      <c r="T1" s="10">
        <f>SUM(D2:E15)</f>
        <v>8850</v>
      </c>
      <c r="U1" s="10"/>
      <c r="V1" s="10">
        <f>SUM(F2:G15)</f>
        <v>24250</v>
      </c>
      <c r="W1" s="10"/>
      <c r="X1" s="10">
        <f>SUM(H2:I15)</f>
        <v>750</v>
      </c>
      <c r="Y1" s="10"/>
      <c r="Z1" s="10">
        <f>SUM(J2:K15)</f>
        <v>2500</v>
      </c>
      <c r="AA1" s="10"/>
    </row>
    <row r="2" spans="1:27" x14ac:dyDescent="0.3">
      <c r="A2" s="2">
        <v>45980</v>
      </c>
      <c r="B2" s="7">
        <v>1250</v>
      </c>
      <c r="C2" s="7"/>
      <c r="D2" s="7">
        <v>500</v>
      </c>
      <c r="E2" s="7"/>
      <c r="F2" s="7" t="s">
        <v>6</v>
      </c>
      <c r="G2" s="7"/>
      <c r="H2" s="7">
        <v>0</v>
      </c>
      <c r="I2" s="7"/>
      <c r="J2" s="7">
        <v>150</v>
      </c>
      <c r="K2" s="7"/>
      <c r="Q2" s="3" t="s">
        <v>8</v>
      </c>
      <c r="R2" s="8">
        <f>AVERAGE(B2:C15)</f>
        <v>2639.2857142857142</v>
      </c>
      <c r="S2" s="8"/>
      <c r="T2" s="8">
        <f>AVERAGE(D2:E15)</f>
        <v>632.14285714285711</v>
      </c>
      <c r="U2" s="8"/>
      <c r="V2" s="8">
        <f>AVERAGE(F2:G15)</f>
        <v>1865.3846153846155</v>
      </c>
      <c r="W2" s="8"/>
      <c r="X2" s="8">
        <f>AVERAGE(H2:I15)</f>
        <v>53.571428571428569</v>
      </c>
      <c r="Y2" s="8"/>
      <c r="Z2" s="8">
        <f>AVERAGE(J2:K15)</f>
        <v>178.57142857142858</v>
      </c>
      <c r="AA2" s="8"/>
    </row>
    <row r="3" spans="1:27" x14ac:dyDescent="0.3">
      <c r="A3" s="2">
        <v>45981</v>
      </c>
      <c r="B3" s="7">
        <v>2100</v>
      </c>
      <c r="C3" s="7"/>
      <c r="D3" s="7">
        <v>1000</v>
      </c>
      <c r="E3" s="7"/>
      <c r="F3" s="7">
        <v>700</v>
      </c>
      <c r="G3" s="7"/>
      <c r="H3" s="7">
        <v>100</v>
      </c>
      <c r="I3" s="7"/>
      <c r="J3" s="7">
        <v>300</v>
      </c>
      <c r="K3" s="7"/>
      <c r="Q3" s="3" t="s">
        <v>9</v>
      </c>
      <c r="R3" s="5">
        <f>MEDIAN(B2:C15)</f>
        <v>2600</v>
      </c>
      <c r="S3" s="5"/>
      <c r="T3" s="5">
        <f>MEDIAN(D2:E15)</f>
        <v>750</v>
      </c>
      <c r="U3" s="5"/>
      <c r="V3" s="5">
        <f>MEDIAN(F2:G15)</f>
        <v>1200</v>
      </c>
      <c r="W3" s="5"/>
      <c r="X3" s="5">
        <f>MEDIAN(H2:I15)</f>
        <v>25</v>
      </c>
      <c r="Y3" s="5"/>
      <c r="Z3" s="5">
        <f>MEDIAN(J2:K15)</f>
        <v>125</v>
      </c>
      <c r="AA3" s="5"/>
    </row>
    <row r="4" spans="1:27" x14ac:dyDescent="0.3">
      <c r="A4" s="2">
        <v>45982</v>
      </c>
      <c r="B4" s="7">
        <v>3000</v>
      </c>
      <c r="C4" s="7"/>
      <c r="D4" s="7">
        <v>1300</v>
      </c>
      <c r="E4" s="7"/>
      <c r="F4" s="7">
        <v>1200</v>
      </c>
      <c r="G4" s="7"/>
      <c r="H4" s="7">
        <v>200</v>
      </c>
      <c r="I4" s="7"/>
      <c r="J4" s="7">
        <v>300</v>
      </c>
      <c r="K4" s="7"/>
      <c r="Q4" s="3" t="s">
        <v>10</v>
      </c>
      <c r="R4" s="6">
        <f>VAR(B2:C15)</f>
        <v>1263914.8351648347</v>
      </c>
      <c r="S4" s="6"/>
      <c r="T4" s="6">
        <f>VAR(D2:E15)</f>
        <v>220233.51648351649</v>
      </c>
      <c r="U4" s="6"/>
      <c r="V4" s="6">
        <f>VAR(F2:G15)</f>
        <v>1802243.58974359</v>
      </c>
      <c r="W4" s="6"/>
      <c r="X4" s="6">
        <f>VAR(H2:I15)</f>
        <v>5178.5714285714294</v>
      </c>
      <c r="Y4" s="6"/>
      <c r="Z4" s="6">
        <f>VAR(J2:K15)</f>
        <v>37967.032967032967</v>
      </c>
      <c r="AA4" s="6"/>
    </row>
    <row r="5" spans="1:27" x14ac:dyDescent="0.3">
      <c r="A5" s="2">
        <v>45983</v>
      </c>
      <c r="B5" s="7">
        <v>4000</v>
      </c>
      <c r="C5" s="7"/>
      <c r="D5" s="7">
        <v>0</v>
      </c>
      <c r="E5" s="7"/>
      <c r="F5" s="7">
        <v>3500</v>
      </c>
      <c r="G5" s="7"/>
      <c r="H5" s="7">
        <v>0</v>
      </c>
      <c r="I5" s="7"/>
      <c r="J5" s="7">
        <v>500</v>
      </c>
      <c r="K5" s="7"/>
      <c r="Q5" s="3" t="s">
        <v>11</v>
      </c>
      <c r="R5" s="4">
        <f>STDEV(B2:C15)</f>
        <v>1124.2396698057023</v>
      </c>
      <c r="S5" s="4"/>
      <c r="T5" s="4">
        <f>STDEV(D2:E15)</f>
        <v>469.29043936939149</v>
      </c>
      <c r="U5" s="4"/>
      <c r="V5" s="4">
        <f>STDEV(F2:G15)</f>
        <v>1342.4766626439321</v>
      </c>
      <c r="W5" s="4"/>
      <c r="X5" s="4">
        <f>STDEV(H2:I15)</f>
        <v>71.962291712892451</v>
      </c>
      <c r="Y5" s="4"/>
      <c r="Z5" s="4">
        <f>STDEV(J2:K15)</f>
        <v>194.8513098930386</v>
      </c>
      <c r="AA5" s="4"/>
    </row>
    <row r="6" spans="1:27" x14ac:dyDescent="0.3">
      <c r="A6" s="2">
        <v>45984</v>
      </c>
      <c r="B6" s="7">
        <v>2500</v>
      </c>
      <c r="C6" s="7"/>
      <c r="D6" s="7">
        <v>0</v>
      </c>
      <c r="E6" s="7"/>
      <c r="F6" s="7">
        <v>2500</v>
      </c>
      <c r="G6" s="7"/>
      <c r="H6" s="7">
        <v>0</v>
      </c>
      <c r="I6" s="7"/>
      <c r="J6" s="7">
        <v>0</v>
      </c>
      <c r="K6" s="7"/>
    </row>
    <row r="7" spans="1:27" x14ac:dyDescent="0.3">
      <c r="A7" s="2">
        <v>45985</v>
      </c>
      <c r="B7" s="7">
        <v>1900</v>
      </c>
      <c r="C7" s="7"/>
      <c r="D7" s="7">
        <v>900</v>
      </c>
      <c r="E7" s="7"/>
      <c r="F7" s="7">
        <v>800</v>
      </c>
      <c r="G7" s="7"/>
      <c r="H7" s="7">
        <v>100</v>
      </c>
      <c r="I7" s="7"/>
      <c r="J7" s="7">
        <v>100</v>
      </c>
      <c r="K7" s="7"/>
    </row>
    <row r="8" spans="1:27" x14ac:dyDescent="0.3">
      <c r="A8" s="2">
        <v>45986</v>
      </c>
      <c r="B8" s="7">
        <v>3200</v>
      </c>
      <c r="C8" s="7"/>
      <c r="D8" s="7">
        <v>1100</v>
      </c>
      <c r="E8" s="7"/>
      <c r="F8" s="7">
        <v>2050</v>
      </c>
      <c r="G8" s="7"/>
      <c r="H8" s="7">
        <v>50</v>
      </c>
      <c r="I8" s="7"/>
      <c r="J8" s="7">
        <v>0</v>
      </c>
      <c r="K8" s="7"/>
    </row>
    <row r="9" spans="1:27" x14ac:dyDescent="0.3">
      <c r="A9" s="2">
        <v>45987</v>
      </c>
      <c r="B9" s="7">
        <v>2700</v>
      </c>
      <c r="C9" s="7"/>
      <c r="D9" s="7">
        <v>1050</v>
      </c>
      <c r="E9" s="7"/>
      <c r="F9" s="7">
        <v>1000</v>
      </c>
      <c r="G9" s="7"/>
      <c r="H9" s="7">
        <v>200</v>
      </c>
      <c r="I9" s="7"/>
      <c r="J9" s="7">
        <v>450</v>
      </c>
      <c r="K9" s="7"/>
    </row>
    <row r="10" spans="1:27" x14ac:dyDescent="0.3">
      <c r="A10" s="2">
        <v>45988</v>
      </c>
      <c r="B10" s="7">
        <v>1000</v>
      </c>
      <c r="C10" s="7"/>
      <c r="D10" s="7">
        <v>500</v>
      </c>
      <c r="E10" s="7"/>
      <c r="F10" s="7">
        <v>500</v>
      </c>
      <c r="G10" s="7"/>
      <c r="H10" s="7">
        <v>0</v>
      </c>
      <c r="I10" s="7"/>
      <c r="J10" s="7">
        <v>0</v>
      </c>
      <c r="K10" s="7"/>
    </row>
    <row r="11" spans="1:27" x14ac:dyDescent="0.3">
      <c r="A11" s="2">
        <v>45989</v>
      </c>
      <c r="B11" s="7">
        <v>2700</v>
      </c>
      <c r="C11" s="7"/>
      <c r="D11" s="7">
        <v>850</v>
      </c>
      <c r="E11" s="7"/>
      <c r="F11" s="7">
        <v>1800</v>
      </c>
      <c r="G11" s="7"/>
      <c r="H11" s="7">
        <v>50</v>
      </c>
      <c r="I11" s="7"/>
      <c r="J11" s="7">
        <v>0</v>
      </c>
      <c r="K11" s="7"/>
    </row>
    <row r="12" spans="1:27" x14ac:dyDescent="0.3">
      <c r="A12" s="2">
        <v>45990</v>
      </c>
      <c r="B12" s="7">
        <v>5000</v>
      </c>
      <c r="C12" s="7"/>
      <c r="D12" s="7">
        <v>0</v>
      </c>
      <c r="E12" s="7"/>
      <c r="F12" s="7">
        <v>4500</v>
      </c>
      <c r="G12" s="7"/>
      <c r="H12" s="7">
        <v>0</v>
      </c>
      <c r="I12" s="7"/>
      <c r="J12" s="7">
        <v>500</v>
      </c>
      <c r="K12" s="7"/>
    </row>
    <row r="13" spans="1:27" x14ac:dyDescent="0.3">
      <c r="A13" s="2">
        <v>45991</v>
      </c>
      <c r="B13" s="7">
        <v>3900</v>
      </c>
      <c r="C13" s="7"/>
      <c r="D13" s="7">
        <v>0</v>
      </c>
      <c r="E13" s="7"/>
      <c r="F13" s="7">
        <v>3900</v>
      </c>
      <c r="G13" s="7"/>
      <c r="H13" s="7">
        <v>0</v>
      </c>
      <c r="I13" s="7"/>
      <c r="J13" s="7">
        <v>0</v>
      </c>
      <c r="K13" s="7"/>
    </row>
    <row r="14" spans="1:27" x14ac:dyDescent="0.3">
      <c r="A14" s="2">
        <v>45992</v>
      </c>
      <c r="B14" s="7">
        <v>2200</v>
      </c>
      <c r="C14" s="7"/>
      <c r="D14" s="7">
        <v>1000</v>
      </c>
      <c r="E14" s="7"/>
      <c r="F14" s="7">
        <v>1000</v>
      </c>
      <c r="G14" s="7"/>
      <c r="H14" s="7">
        <v>50</v>
      </c>
      <c r="I14" s="7"/>
      <c r="J14" s="7">
        <v>150</v>
      </c>
      <c r="K14" s="7"/>
    </row>
    <row r="15" spans="1:27" x14ac:dyDescent="0.3">
      <c r="A15" s="2">
        <v>45993</v>
      </c>
      <c r="B15" s="7">
        <v>1500</v>
      </c>
      <c r="C15" s="7"/>
      <c r="D15" s="7">
        <v>650</v>
      </c>
      <c r="E15" s="7"/>
      <c r="F15" s="7">
        <v>800</v>
      </c>
      <c r="G15" s="7"/>
      <c r="H15" s="7">
        <v>0</v>
      </c>
      <c r="I15" s="7"/>
      <c r="J15" s="7">
        <v>50</v>
      </c>
      <c r="K15" s="7"/>
    </row>
  </sheetData>
  <mergeCells count="100">
    <mergeCell ref="R1:S1"/>
    <mergeCell ref="B10:C10"/>
    <mergeCell ref="B11:C11"/>
    <mergeCell ref="B12:C12"/>
    <mergeCell ref="B13:C13"/>
    <mergeCell ref="B14:C14"/>
    <mergeCell ref="B15:C15"/>
    <mergeCell ref="J15:K15"/>
    <mergeCell ref="Z1:AA1"/>
    <mergeCell ref="B2:C2"/>
    <mergeCell ref="B3:C3"/>
    <mergeCell ref="B4:C4"/>
    <mergeCell ref="B5:C5"/>
    <mergeCell ref="B6:C6"/>
    <mergeCell ref="B7:C7"/>
    <mergeCell ref="B8:C8"/>
    <mergeCell ref="B9:C9"/>
    <mergeCell ref="J9:K9"/>
    <mergeCell ref="J10:K10"/>
    <mergeCell ref="J11:K11"/>
    <mergeCell ref="J12:K12"/>
    <mergeCell ref="J13:K13"/>
    <mergeCell ref="J14:K14"/>
    <mergeCell ref="J3:K3"/>
    <mergeCell ref="J4:K4"/>
    <mergeCell ref="J5:K5"/>
    <mergeCell ref="J6:K6"/>
    <mergeCell ref="J7:K7"/>
    <mergeCell ref="J8:K8"/>
    <mergeCell ref="H11:I11"/>
    <mergeCell ref="H12:I12"/>
    <mergeCell ref="H13:I13"/>
    <mergeCell ref="H14:I14"/>
    <mergeCell ref="H15:I15"/>
    <mergeCell ref="X1:Y1"/>
    <mergeCell ref="V1:W1"/>
    <mergeCell ref="H2:I2"/>
    <mergeCell ref="H3:I3"/>
    <mergeCell ref="H4:I4"/>
    <mergeCell ref="H5:I5"/>
    <mergeCell ref="H6:I6"/>
    <mergeCell ref="H7:I7"/>
    <mergeCell ref="H8:I8"/>
    <mergeCell ref="H9:I9"/>
    <mergeCell ref="H10:I10"/>
    <mergeCell ref="F10:G10"/>
    <mergeCell ref="F11:G11"/>
    <mergeCell ref="F12:G12"/>
    <mergeCell ref="F13:G13"/>
    <mergeCell ref="F15:G15"/>
    <mergeCell ref="D15:E15"/>
    <mergeCell ref="T1:U1"/>
    <mergeCell ref="F2:G2"/>
    <mergeCell ref="F3:G3"/>
    <mergeCell ref="F4:G4"/>
    <mergeCell ref="F5:G5"/>
    <mergeCell ref="F6:G6"/>
    <mergeCell ref="F7:G7"/>
    <mergeCell ref="F8:G8"/>
    <mergeCell ref="F9:G9"/>
    <mergeCell ref="D9:E9"/>
    <mergeCell ref="D10:E10"/>
    <mergeCell ref="D11:E11"/>
    <mergeCell ref="D12:E12"/>
    <mergeCell ref="B1:C1"/>
    <mergeCell ref="D1:E1"/>
    <mergeCell ref="F1:G1"/>
    <mergeCell ref="H1:I1"/>
    <mergeCell ref="J1:K1"/>
    <mergeCell ref="D2:E2"/>
    <mergeCell ref="J2:K2"/>
    <mergeCell ref="R2:S2"/>
    <mergeCell ref="T2:U2"/>
    <mergeCell ref="V2:W2"/>
    <mergeCell ref="X2:Y2"/>
    <mergeCell ref="Z2:AA2"/>
    <mergeCell ref="D13:E13"/>
    <mergeCell ref="D14:E14"/>
    <mergeCell ref="D3:E3"/>
    <mergeCell ref="D4:E4"/>
    <mergeCell ref="D5:E5"/>
    <mergeCell ref="D6:E6"/>
    <mergeCell ref="D7:E7"/>
    <mergeCell ref="D8:E8"/>
    <mergeCell ref="F14:G14"/>
    <mergeCell ref="R3:S3"/>
    <mergeCell ref="R4:S4"/>
    <mergeCell ref="T3:U3"/>
    <mergeCell ref="V3:W3"/>
    <mergeCell ref="X3:Y3"/>
    <mergeCell ref="Z3:AA3"/>
    <mergeCell ref="T4:U4"/>
    <mergeCell ref="V4:W4"/>
    <mergeCell ref="X4:Y4"/>
    <mergeCell ref="Z4:AA4"/>
    <mergeCell ref="R5:S5"/>
    <mergeCell ref="T5:U5"/>
    <mergeCell ref="V5:W5"/>
    <mergeCell ref="X5:Y5"/>
    <mergeCell ref="Z5:AA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2025-11-19T05:09:46Z</dcterms:created>
  <dcterms:modified xsi:type="dcterms:W3CDTF">2025-11-19T14:05:20Z</dcterms:modified>
</cp:coreProperties>
</file>